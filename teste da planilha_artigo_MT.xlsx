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fcatalao-my.sharepoint.com/personal/victor_souza_discente_ufcat_edu_br/Documents/Mestrado/dissertação/Dissertação/"/>
    </mc:Choice>
  </mc:AlternateContent>
  <xr:revisionPtr revIDLastSave="3" documentId="8_{66851749-502C-427B-92CF-675B0FA1319E}" xr6:coauthVersionLast="47" xr6:coauthVersionMax="47" xr10:uidLastSave="{07A9C592-3E0A-4E9F-8BA7-413F57748E27}"/>
  <bookViews>
    <workbookView xWindow="-108" yWindow="-108" windowWidth="23256" windowHeight="12456" xr2:uid="{F469007E-D377-4415-9629-4A897BF6F5EE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1" l="1"/>
  <c r="R2" i="1" s="1"/>
  <c r="P2" i="1"/>
  <c r="O2" i="1"/>
  <c r="N2" i="1"/>
  <c r="Y2" i="1"/>
  <c r="L2" i="1"/>
  <c r="M2" i="1"/>
  <c r="W2" i="1" s="1"/>
  <c r="X2" i="1" s="1"/>
  <c r="Z2" i="1" s="1"/>
</calcChain>
</file>

<file path=xl/sharedStrings.xml><?xml version="1.0" encoding="utf-8"?>
<sst xmlns="http://schemas.openxmlformats.org/spreadsheetml/2006/main" count="25" uniqueCount="24">
  <si>
    <t>gamma_c</t>
  </si>
  <si>
    <t>gamma_s</t>
  </si>
  <si>
    <t>gamma_f</t>
  </si>
  <si>
    <t>b_w (m)</t>
  </si>
  <si>
    <t>h (m)</t>
  </si>
  <si>
    <t>a_s (m²)</t>
  </si>
  <si>
    <t>t</t>
  </si>
  <si>
    <t>R</t>
  </si>
  <si>
    <t>G</t>
  </si>
  <si>
    <t>m_g</t>
  </si>
  <si>
    <t>m_q</t>
  </si>
  <si>
    <t>e_r</t>
  </si>
  <si>
    <t>e_s</t>
  </si>
  <si>
    <t>m_r</t>
  </si>
  <si>
    <t>m_s</t>
  </si>
  <si>
    <t>f_ck</t>
  </si>
  <si>
    <t>f_yk</t>
  </si>
  <si>
    <t>x</t>
  </si>
  <si>
    <t>d</t>
  </si>
  <si>
    <t>f_cd</t>
  </si>
  <si>
    <t>zeta</t>
  </si>
  <si>
    <t>z</t>
  </si>
  <si>
    <t>aux</t>
  </si>
  <si>
    <t>d(m)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</si>
</sst>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0.000"/>
    <numFmt numFmtId="167" formatCode="0.00000"/>
  </numFmts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5" fontId="0" fillId="0" borderId="0" xfId="0" applyNumberFormat="1"/>
    <xf numFmtId="167" fontId="0" fillId="3" borderId="0" xfId="0" applyNumberFormat="1" applyFill="1"/>
    <xf numFmtId="0" fontId="0" fillId="3" borderId="0" xfId="0" applyFill="1"/>
    <xf numFmtId="165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411BC7-6A25-4281-ADE7-E0D38E637218}">
  <dimension ref="A1:Z7"/>
  <sheetViews>
    <sheetView tabSelected="1" workbookViewId="0">
      <selection activeCell="P15" sqref="P15"/>
    </sheetView>
  </sheetViews>
  <sheetFormatPr defaultRowHeight="14.4" x14ac:dyDescent="0.3"/>
  <cols>
    <col min="13" max="13" width="9.5546875" bestFit="1" customWidth="1"/>
    <col min="18" max="18" width="11.5546875" bestFit="1" customWidth="1"/>
  </cols>
  <sheetData>
    <row r="1" spans="1:26" x14ac:dyDescent="0.3">
      <c r="A1" t="s">
        <v>9</v>
      </c>
      <c r="B1" t="s">
        <v>10</v>
      </c>
      <c r="C1" t="s">
        <v>15</v>
      </c>
      <c r="D1" t="s">
        <v>16</v>
      </c>
      <c r="E1" t="s">
        <v>11</v>
      </c>
      <c r="F1" t="s">
        <v>12</v>
      </c>
      <c r="G1" t="s">
        <v>0</v>
      </c>
      <c r="H1" t="s">
        <v>1</v>
      </c>
      <c r="I1" t="s">
        <v>2</v>
      </c>
      <c r="J1" t="s">
        <v>3</v>
      </c>
      <c r="K1" t="s">
        <v>4</v>
      </c>
      <c r="L1" t="s">
        <v>23</v>
      </c>
      <c r="M1" t="s">
        <v>19</v>
      </c>
      <c r="N1" t="s">
        <v>20</v>
      </c>
      <c r="O1" t="s">
        <v>22</v>
      </c>
      <c r="P1" t="s">
        <v>17</v>
      </c>
      <c r="Q1" t="s">
        <v>21</v>
      </c>
      <c r="R1" t="s">
        <v>5</v>
      </c>
      <c r="T1" t="s">
        <v>6</v>
      </c>
      <c r="U1" t="s">
        <v>7</v>
      </c>
      <c r="V1" t="s">
        <v>18</v>
      </c>
      <c r="W1" t="s">
        <v>17</v>
      </c>
      <c r="X1" t="s">
        <v>13</v>
      </c>
      <c r="Y1" t="s">
        <v>14</v>
      </c>
      <c r="Z1" t="s">
        <v>8</v>
      </c>
    </row>
    <row r="2" spans="1:26" x14ac:dyDescent="0.3">
      <c r="A2">
        <v>19.388000000000002</v>
      </c>
      <c r="B2">
        <v>0.59599999999999997</v>
      </c>
      <c r="C2">
        <v>22362.2</v>
      </c>
      <c r="D2" s="3">
        <v>618451.30000000005</v>
      </c>
      <c r="E2">
        <v>0.89300000000000002</v>
      </c>
      <c r="F2">
        <v>1.0660000000000001</v>
      </c>
      <c r="G2">
        <v>1</v>
      </c>
      <c r="H2">
        <v>1</v>
      </c>
      <c r="I2">
        <v>1</v>
      </c>
      <c r="J2">
        <v>0.14000000000000001</v>
      </c>
      <c r="K2">
        <v>0.3</v>
      </c>
      <c r="L2">
        <f>K2*0.9</f>
        <v>0.27</v>
      </c>
      <c r="M2" s="1">
        <f>C2/G2</f>
        <v>22362.2</v>
      </c>
      <c r="N2" s="1">
        <f>Y2/(J2*0.85*M2)</f>
        <v>8.0053096803737456E-3</v>
      </c>
      <c r="O2" s="1">
        <f>L2^2-2*N2</f>
        <v>5.6889380639252515E-2</v>
      </c>
      <c r="P2" s="4">
        <f>(L2-SQRT(O2))/0.8</f>
        <v>3.9356314424014611E-2</v>
      </c>
      <c r="Q2" s="1">
        <f>L2-0.5*0.8*P2</f>
        <v>0.25425747423039419</v>
      </c>
      <c r="R2" s="2">
        <f>Y2/(Q2*D2)</f>
        <v>1.3547538395357724E-4</v>
      </c>
      <c r="S2" s="1"/>
      <c r="T2" s="1"/>
      <c r="U2" s="1"/>
      <c r="V2" s="1"/>
      <c r="W2" s="4">
        <f>((0.00038*500000)/(M2*J2*0.85*0.8))</f>
        <v>8.9248746515447078E-2</v>
      </c>
      <c r="X2" s="1">
        <f>(0.00038*500000*(L2-W2*0.5*0.8))*E2</f>
        <v>39.753766071489643</v>
      </c>
      <c r="Y2" s="1">
        <f>(I2*(A2+B2))*F2</f>
        <v>21.302944000000004</v>
      </c>
      <c r="Z2" s="1">
        <f>X2-Y2</f>
        <v>18.45082207148964</v>
      </c>
    </row>
    <row r="3" spans="1:26" x14ac:dyDescent="0.3">
      <c r="G3">
        <v>1.4</v>
      </c>
      <c r="H3">
        <v>1.1499999999999999</v>
      </c>
      <c r="I3">
        <v>1.4</v>
      </c>
      <c r="J3">
        <v>0.14000000000000001</v>
      </c>
      <c r="K3">
        <v>0.3</v>
      </c>
      <c r="R3" s="3">
        <v>3.8000000000000002E-4</v>
      </c>
      <c r="X3">
        <v>39.79</v>
      </c>
      <c r="Y3">
        <v>21.31</v>
      </c>
      <c r="Z3">
        <v>18.47</v>
      </c>
    </row>
    <row r="4" spans="1:26" x14ac:dyDescent="0.3">
      <c r="G4">
        <v>1.4</v>
      </c>
      <c r="H4">
        <v>1.1499999999999999</v>
      </c>
      <c r="I4">
        <v>1.4</v>
      </c>
      <c r="J4">
        <v>0.14000000000000001</v>
      </c>
      <c r="K4">
        <v>0.3</v>
      </c>
    </row>
    <row r="5" spans="1:26" x14ac:dyDescent="0.3">
      <c r="G5">
        <v>1.4</v>
      </c>
      <c r="H5">
        <v>1.1499999999999999</v>
      </c>
      <c r="I5">
        <v>1.4</v>
      </c>
      <c r="J5">
        <v>0.14000000000000001</v>
      </c>
      <c r="K5">
        <v>0.3</v>
      </c>
    </row>
    <row r="6" spans="1:26" x14ac:dyDescent="0.3">
      <c r="G6">
        <v>1.4</v>
      </c>
      <c r="H6">
        <v>1.1499999999999999</v>
      </c>
      <c r="I6">
        <v>1.4</v>
      </c>
      <c r="J6">
        <v>0.14000000000000001</v>
      </c>
      <c r="K6">
        <v>0.3</v>
      </c>
    </row>
    <row r="7" spans="1:26" x14ac:dyDescent="0.3">
      <c r="G7">
        <v>1.4</v>
      </c>
      <c r="H7">
        <v>1.1499999999999999</v>
      </c>
      <c r="I7">
        <v>1.4</v>
      </c>
      <c r="J7">
        <v>0.14000000000000001</v>
      </c>
      <c r="K7">
        <v>0.3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Victor Hugo  Moreira</dc:creator>
  <cp:lastModifiedBy>Victor Hugo  Moreira</cp:lastModifiedBy>
  <dcterms:created xsi:type="dcterms:W3CDTF">2024-11-13T17:32:54Z</dcterms:created>
  <dcterms:modified xsi:type="dcterms:W3CDTF">2024-11-26T00:32:44Z</dcterms:modified>
</cp:coreProperties>
</file>