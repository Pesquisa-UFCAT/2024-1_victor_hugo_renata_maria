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ic_victor\"/>
    </mc:Choice>
  </mc:AlternateContent>
  <xr:revisionPtr revIDLastSave="0" documentId="13_ncr:1_{0B7AD424-FA3F-42C0-978F-FC3D2836178B}" xr6:coauthVersionLast="47" xr6:coauthVersionMax="47" xr10:uidLastSave="{00000000-0000-0000-0000-000000000000}"/>
  <bookViews>
    <workbookView xWindow="-108" yWindow="-108" windowWidth="23256" windowHeight="12456" xr2:uid="{F469007E-D377-4415-9629-4A897BF6F5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" i="1" l="1"/>
  <c r="V22" i="1"/>
  <c r="V23" i="1"/>
  <c r="V24" i="1"/>
  <c r="V25" i="1"/>
  <c r="V26" i="1"/>
  <c r="V27" i="1"/>
  <c r="V28" i="1"/>
  <c r="V29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T8" i="1"/>
  <c r="V8" i="1" s="1"/>
  <c r="T13" i="1"/>
  <c r="V13" i="1" s="1"/>
  <c r="T14" i="1"/>
  <c r="V14" i="1" s="1"/>
  <c r="T17" i="1"/>
  <c r="T18" i="1"/>
  <c r="V18" i="1" s="1"/>
  <c r="T21" i="1"/>
  <c r="V21" i="1" s="1"/>
  <c r="T22" i="1"/>
  <c r="T23" i="1"/>
  <c r="T24" i="1"/>
  <c r="T25" i="1"/>
  <c r="T26" i="1"/>
  <c r="T27" i="1"/>
  <c r="T28" i="1"/>
  <c r="T29" i="1"/>
  <c r="S8" i="1"/>
  <c r="S11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R8" i="1"/>
  <c r="R9" i="1"/>
  <c r="S9" i="1" s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Q22" i="1"/>
  <c r="Q23" i="1"/>
  <c r="Q24" i="1"/>
  <c r="Q25" i="1"/>
  <c r="Q26" i="1"/>
  <c r="Q27" i="1"/>
  <c r="Q28" i="1"/>
  <c r="Q29" i="1"/>
  <c r="O7" i="1"/>
  <c r="O8" i="1"/>
  <c r="O9" i="1"/>
  <c r="O10" i="1"/>
  <c r="S10" i="1" s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T15" i="1" s="1"/>
  <c r="V15" i="1" s="1"/>
  <c r="Q16" i="1"/>
  <c r="T16" i="1" s="1"/>
  <c r="V16" i="1" s="1"/>
  <c r="Q17" i="1"/>
  <c r="Q18" i="1"/>
  <c r="Q19" i="1"/>
  <c r="T19" i="1" s="1"/>
  <c r="V19" i="1" s="1"/>
  <c r="Q20" i="1"/>
  <c r="T20" i="1" s="1"/>
  <c r="V20" i="1" s="1"/>
  <c r="Q21" i="1"/>
  <c r="Q2" i="1"/>
  <c r="U3" i="1"/>
  <c r="U4" i="1"/>
  <c r="U5" i="1"/>
  <c r="U6" i="1"/>
  <c r="U7" i="1"/>
  <c r="R7" i="1"/>
  <c r="S7" i="1" s="1"/>
  <c r="R4" i="1"/>
  <c r="R5" i="1"/>
  <c r="R6" i="1"/>
  <c r="O3" i="1"/>
  <c r="S3" i="1" s="1"/>
  <c r="T3" i="1" s="1"/>
  <c r="O4" i="1"/>
  <c r="O5" i="1"/>
  <c r="O6" i="1"/>
  <c r="N3" i="1"/>
  <c r="N4" i="1"/>
  <c r="N5" i="1"/>
  <c r="N6" i="1"/>
  <c r="R2" i="1"/>
  <c r="S2" i="1" s="1"/>
  <c r="U2" i="1"/>
  <c r="N2" i="1"/>
  <c r="O2" i="1"/>
  <c r="S12" i="1" l="1"/>
  <c r="T12" i="1" s="1"/>
  <c r="V12" i="1" s="1"/>
  <c r="T9" i="1"/>
  <c r="V9" i="1" s="1"/>
  <c r="T11" i="1"/>
  <c r="V11" i="1" s="1"/>
  <c r="T10" i="1"/>
  <c r="V10" i="1" s="1"/>
  <c r="T7" i="1"/>
  <c r="V7" i="1" s="1"/>
  <c r="S6" i="1"/>
  <c r="T6" i="1" s="1"/>
  <c r="V6" i="1" s="1"/>
  <c r="T2" i="1"/>
  <c r="S5" i="1"/>
  <c r="T5" i="1" s="1"/>
  <c r="V5" i="1" s="1"/>
  <c r="V3" i="1"/>
  <c r="S4" i="1"/>
  <c r="V2" i="1"/>
  <c r="T4" i="1" l="1"/>
  <c r="V4" i="1" s="1"/>
</calcChain>
</file>

<file path=xl/sharedStrings.xml><?xml version="1.0" encoding="utf-8"?>
<sst xmlns="http://schemas.openxmlformats.org/spreadsheetml/2006/main" count="35" uniqueCount="25">
  <si>
    <t>gamma_c</t>
  </si>
  <si>
    <t>gamma_s</t>
  </si>
  <si>
    <t>gamma_f</t>
  </si>
  <si>
    <t>b_w (m)</t>
  </si>
  <si>
    <t>h (m)</t>
  </si>
  <si>
    <t>a_s (m²)</t>
  </si>
  <si>
    <t>G</t>
  </si>
  <si>
    <t>e_r</t>
  </si>
  <si>
    <t>e_s</t>
  </si>
  <si>
    <t>d(m)</t>
  </si>
  <si>
    <t>fator_degrad</t>
  </si>
  <si>
    <t>m_g (kN.m)</t>
  </si>
  <si>
    <t>m_q (kN.m)</t>
  </si>
  <si>
    <t>f_ck (kPa)</t>
  </si>
  <si>
    <t>f_yk (kPa)</t>
  </si>
  <si>
    <t>f_cd (kPa)</t>
  </si>
  <si>
    <t>x (m)</t>
  </si>
  <si>
    <t>m_r (kN.m)</t>
  </si>
  <si>
    <t>m_s (kN.m)</t>
  </si>
  <si>
    <t>nº teste</t>
  </si>
  <si>
    <t>t (ano)</t>
  </si>
  <si>
    <t xml:space="preserve"> taxa     degrad</t>
  </si>
  <si>
    <t>ok</t>
  </si>
  <si>
    <t>1-t1</t>
  </si>
  <si>
    <t>FAZER GRÁFIVO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</si>
</sst>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2" fontId="0" fillId="0" borderId="2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8.7529090113735789E-2"/>
                  <c:y val="0.535585447652376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Planilha1!$P$5:$P$11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Planilha1!$T$5:$T$11</c:f>
              <c:numCache>
                <c:formatCode>0,000</c:formatCode>
                <c:ptCount val="7"/>
                <c:pt idx="0">
                  <c:v>86.290729411764715</c:v>
                </c:pt>
                <c:pt idx="1">
                  <c:v>86.098515483361695</c:v>
                </c:pt>
                <c:pt idx="2">
                  <c:v>84.387743301686342</c:v>
                </c:pt>
                <c:pt idx="3">
                  <c:v>82.526724111575376</c:v>
                </c:pt>
                <c:pt idx="4">
                  <c:v>80.70674633684601</c:v>
                </c:pt>
                <c:pt idx="5">
                  <c:v>77.186314616732304</c:v>
                </c:pt>
                <c:pt idx="6">
                  <c:v>69.042493958811278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EB-41CE-9116-092F009F3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41360"/>
        <c:axId val="100544720"/>
      </c:scatterChart>
      <c:valAx>
        <c:axId val="100541360"/>
        <c:scaling>
          <c:orientation val="minMax"/>
          <c:max val="11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44720"/>
        <c:crossesAt val="0"/>
        <c:crossBetween val="midCat"/>
      </c:valAx>
      <c:valAx>
        <c:axId val="1005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4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441960</xdr:colOff>
      <xdr:row>1</xdr:row>
      <xdr:rowOff>99060</xdr:rowOff>
    </xdr:from>
    <xdr:to>
      <xdr:col>29</xdr:col>
      <xdr:colOff>213360</xdr:colOff>
      <xdr:row>16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98F25E-DF9C-95AC-43B7-35309E65B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1BC7-6A25-4281-ADE7-E0D38E637218}">
  <dimension ref="A1:X47"/>
  <sheetViews>
    <sheetView tabSelected="1" topLeftCell="L1" workbookViewId="0">
      <pane ySplit="1" topLeftCell="A2" activePane="bottomLeft" state="frozen"/>
      <selection pane="bottomLeft" activeCell="AB22" sqref="AB22"/>
    </sheetView>
  </sheetViews>
  <sheetFormatPr defaultRowHeight="14.4" x14ac:dyDescent="0.3"/>
  <cols>
    <col min="3" max="22" width="10.77734375" customWidth="1"/>
    <col min="23" max="24" width="12.77734375" customWidth="1"/>
  </cols>
  <sheetData>
    <row r="1" spans="1:24" ht="30" customHeight="1" thickBot="1" x14ac:dyDescent="0.35">
      <c r="B1" s="2" t="s">
        <v>19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7</v>
      </c>
      <c r="H1" s="3" t="s">
        <v>8</v>
      </c>
      <c r="I1" s="3" t="s">
        <v>0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9</v>
      </c>
      <c r="O1" s="3" t="s">
        <v>15</v>
      </c>
      <c r="P1" s="3" t="s">
        <v>20</v>
      </c>
      <c r="Q1" s="10" t="s">
        <v>21</v>
      </c>
      <c r="R1" s="3" t="s">
        <v>5</v>
      </c>
      <c r="S1" s="3" t="s">
        <v>16</v>
      </c>
      <c r="T1" s="3" t="s">
        <v>17</v>
      </c>
      <c r="U1" s="3" t="s">
        <v>18</v>
      </c>
      <c r="V1" s="4" t="s">
        <v>6</v>
      </c>
      <c r="W1" s="8" t="s">
        <v>10</v>
      </c>
      <c r="X1" s="9">
        <v>-2.2300000000000002E-3</v>
      </c>
    </row>
    <row r="2" spans="1:24" x14ac:dyDescent="0.3">
      <c r="B2" s="5">
        <v>1</v>
      </c>
      <c r="C2" s="14">
        <v>17</v>
      </c>
      <c r="D2" s="14">
        <v>2.87</v>
      </c>
      <c r="E2" s="6">
        <v>25000</v>
      </c>
      <c r="F2" s="6">
        <v>500000</v>
      </c>
      <c r="G2" s="14">
        <v>1</v>
      </c>
      <c r="H2" s="14">
        <v>1</v>
      </c>
      <c r="I2" s="11">
        <v>1</v>
      </c>
      <c r="J2" s="11">
        <v>1</v>
      </c>
      <c r="K2" s="11">
        <v>1</v>
      </c>
      <c r="L2" s="11">
        <v>0.14000000000000001</v>
      </c>
      <c r="M2" s="11">
        <v>0.4</v>
      </c>
      <c r="N2" s="16">
        <f>M2*0.9</f>
        <v>0.36000000000000004</v>
      </c>
      <c r="O2" s="17">
        <f>E2/I2</f>
        <v>25000</v>
      </c>
      <c r="P2" s="7">
        <v>0</v>
      </c>
      <c r="Q2" s="18">
        <f>IF(P2=0, 1, EXP($X$1*P2))</f>
        <v>1</v>
      </c>
      <c r="R2" s="19">
        <f>0.15/100*L2*M2</f>
        <v>8.4000000000000022E-5</v>
      </c>
      <c r="S2" s="19">
        <f>((R2*F2)/(O2*L2*0.85*0.8))</f>
        <v>1.7647058823529415E-2</v>
      </c>
      <c r="T2" s="17">
        <f>(R2*F2*(N2-S2*0.5*0.8))*G2</f>
        <v>14.823529411764712</v>
      </c>
      <c r="U2" s="17">
        <f>(K2*(C2+D2))*H2</f>
        <v>19.87</v>
      </c>
      <c r="V2" s="20">
        <f>T2-U2</f>
        <v>-5.0464705882352892</v>
      </c>
      <c r="W2" t="s">
        <v>22</v>
      </c>
    </row>
    <row r="3" spans="1:24" x14ac:dyDescent="0.3">
      <c r="A3" t="s">
        <v>23</v>
      </c>
      <c r="B3" s="7">
        <v>2</v>
      </c>
      <c r="C3" s="15">
        <v>17.958200000000001</v>
      </c>
      <c r="D3" s="15">
        <v>1.8528</v>
      </c>
      <c r="E3" s="13">
        <v>34861.980000000003</v>
      </c>
      <c r="F3" s="13">
        <v>574413.19999999995</v>
      </c>
      <c r="G3" s="15">
        <v>1.0053668066589969</v>
      </c>
      <c r="H3" s="15">
        <v>0.99567807940225062</v>
      </c>
      <c r="I3" s="12">
        <v>1</v>
      </c>
      <c r="J3" s="12">
        <v>1</v>
      </c>
      <c r="K3" s="12">
        <v>1</v>
      </c>
      <c r="L3" s="12">
        <v>0.14000000000000001</v>
      </c>
      <c r="M3" s="12">
        <v>0.3</v>
      </c>
      <c r="N3" s="16">
        <f t="shared" ref="N3:N29" si="0">M3*0.9</f>
        <v>0.27</v>
      </c>
      <c r="O3" s="17">
        <f t="shared" ref="O3:O29" si="1">E3/I3</f>
        <v>34861.980000000003</v>
      </c>
      <c r="P3" s="7">
        <v>0</v>
      </c>
      <c r="Q3" s="18">
        <f t="shared" ref="Q3:Q29" si="2">IF(P3=0, 1, EXP($X$1*P3))</f>
        <v>1</v>
      </c>
      <c r="R3" s="19">
        <v>3.8000000000000002E-4</v>
      </c>
      <c r="S3" s="19">
        <f t="shared" ref="S3:S29" si="3">((R3*F3)/(O3*L3*0.85*0.8))</f>
        <v>6.5768662546399473E-2</v>
      </c>
      <c r="T3" s="17">
        <f t="shared" ref="T3" si="4">(R3*F3*(N3-S3*0.5*0.8))*G3</f>
        <v>53.477953109647295</v>
      </c>
      <c r="U3" s="17">
        <f t="shared" ref="U3:U29" si="5">(K3*(C3+D3))*H3</f>
        <v>19.725378431037988</v>
      </c>
      <c r="V3" s="17">
        <f t="shared" ref="V3:V29" si="6">T3-U3</f>
        <v>33.752574678609307</v>
      </c>
      <c r="W3" t="s">
        <v>22</v>
      </c>
    </row>
    <row r="4" spans="1:24" x14ac:dyDescent="0.3">
      <c r="B4" s="7">
        <v>3</v>
      </c>
      <c r="C4" s="15">
        <v>17.5</v>
      </c>
      <c r="D4" s="15">
        <v>5.5</v>
      </c>
      <c r="E4" s="13">
        <v>25000</v>
      </c>
      <c r="F4" s="13">
        <v>500000</v>
      </c>
      <c r="G4" s="15">
        <v>1.2</v>
      </c>
      <c r="H4" s="15">
        <v>0.5</v>
      </c>
      <c r="I4" s="12">
        <v>1</v>
      </c>
      <c r="J4" s="12">
        <v>1</v>
      </c>
      <c r="K4" s="12">
        <v>1</v>
      </c>
      <c r="L4" s="12">
        <v>0.14000000000000001</v>
      </c>
      <c r="M4" s="12">
        <v>0.4</v>
      </c>
      <c r="N4" s="16">
        <f t="shared" si="0"/>
        <v>0.36000000000000004</v>
      </c>
      <c r="O4" s="17">
        <f t="shared" si="1"/>
        <v>25000</v>
      </c>
      <c r="P4" s="7">
        <v>0</v>
      </c>
      <c r="Q4" s="18">
        <f t="shared" si="2"/>
        <v>1</v>
      </c>
      <c r="R4" s="19">
        <f t="shared" ref="R4:R6" si="7">0.15/100*L4*M4</f>
        <v>8.4000000000000022E-5</v>
      </c>
      <c r="S4" s="19">
        <f t="shared" si="3"/>
        <v>1.7647058823529415E-2</v>
      </c>
      <c r="T4" s="17">
        <f>(R4*F4*(N4-S4*0.5*0.8))*G4*Q4</f>
        <v>17.788235294117655</v>
      </c>
      <c r="U4" s="17">
        <f t="shared" si="5"/>
        <v>11.5</v>
      </c>
      <c r="V4" s="17">
        <f t="shared" si="6"/>
        <v>6.2882352941176549</v>
      </c>
      <c r="W4" t="s">
        <v>22</v>
      </c>
    </row>
    <row r="5" spans="1:24" x14ac:dyDescent="0.3">
      <c r="B5" s="7">
        <v>4</v>
      </c>
      <c r="C5" s="15">
        <v>50.5</v>
      </c>
      <c r="D5" s="15">
        <v>10.5</v>
      </c>
      <c r="E5" s="13">
        <v>50000</v>
      </c>
      <c r="F5" s="13">
        <v>600000</v>
      </c>
      <c r="G5" s="15">
        <v>1.1000000000000001</v>
      </c>
      <c r="H5" s="15">
        <v>0.8</v>
      </c>
      <c r="I5" s="12">
        <v>1</v>
      </c>
      <c r="J5" s="12">
        <v>1</v>
      </c>
      <c r="K5" s="12">
        <v>1</v>
      </c>
      <c r="L5" s="12">
        <v>0.2</v>
      </c>
      <c r="M5" s="12">
        <v>0.7</v>
      </c>
      <c r="N5" s="16">
        <f t="shared" si="0"/>
        <v>0.63</v>
      </c>
      <c r="O5" s="17">
        <f t="shared" si="1"/>
        <v>50000</v>
      </c>
      <c r="P5" s="7">
        <v>0</v>
      </c>
      <c r="Q5" s="18">
        <f t="shared" si="2"/>
        <v>1</v>
      </c>
      <c r="R5" s="19">
        <f t="shared" si="7"/>
        <v>2.1000000000000001E-4</v>
      </c>
      <c r="S5" s="19">
        <f t="shared" si="3"/>
        <v>1.8529411764705881E-2</v>
      </c>
      <c r="T5" s="17">
        <f t="shared" ref="T5:T29" si="8">(R5*F5*(N5-S5*0.5*0.8))*G5*Q5</f>
        <v>86.290729411764715</v>
      </c>
      <c r="U5" s="17">
        <f t="shared" si="5"/>
        <v>48.800000000000004</v>
      </c>
      <c r="V5" s="17">
        <f t="shared" si="6"/>
        <v>37.490729411764711</v>
      </c>
      <c r="W5" t="s">
        <v>22</v>
      </c>
    </row>
    <row r="6" spans="1:24" x14ac:dyDescent="0.3">
      <c r="B6" s="7">
        <v>5</v>
      </c>
      <c r="C6" s="15">
        <v>50.5</v>
      </c>
      <c r="D6" s="15">
        <v>10.5</v>
      </c>
      <c r="E6" s="13">
        <v>50000</v>
      </c>
      <c r="F6" s="13">
        <v>600000</v>
      </c>
      <c r="G6" s="15">
        <v>1.1000000000000001</v>
      </c>
      <c r="H6" s="15">
        <v>0.8</v>
      </c>
      <c r="I6" s="12">
        <v>1</v>
      </c>
      <c r="J6" s="12">
        <v>1</v>
      </c>
      <c r="K6" s="12">
        <v>1</v>
      </c>
      <c r="L6" s="12">
        <v>0.2</v>
      </c>
      <c r="M6" s="12">
        <v>0.7</v>
      </c>
      <c r="N6" s="16">
        <f t="shared" si="0"/>
        <v>0.63</v>
      </c>
      <c r="O6" s="17">
        <f t="shared" si="1"/>
        <v>50000</v>
      </c>
      <c r="P6" s="7">
        <v>1</v>
      </c>
      <c r="Q6" s="18">
        <f t="shared" si="2"/>
        <v>0.99777248460276879</v>
      </c>
      <c r="R6" s="19">
        <f t="shared" si="7"/>
        <v>2.1000000000000001E-4</v>
      </c>
      <c r="S6" s="19">
        <f t="shared" si="3"/>
        <v>1.8529411764705881E-2</v>
      </c>
      <c r="T6" s="17">
        <f t="shared" si="8"/>
        <v>86.098515483361695</v>
      </c>
      <c r="U6" s="17">
        <f t="shared" si="5"/>
        <v>48.800000000000004</v>
      </c>
      <c r="V6" s="17">
        <f t="shared" si="6"/>
        <v>37.29851548336169</v>
      </c>
      <c r="W6" t="s">
        <v>22</v>
      </c>
    </row>
    <row r="7" spans="1:24" x14ac:dyDescent="0.3">
      <c r="B7" s="7">
        <v>6</v>
      </c>
      <c r="C7" s="15">
        <v>50.5</v>
      </c>
      <c r="D7" s="15">
        <v>10.5</v>
      </c>
      <c r="E7" s="13">
        <v>50000</v>
      </c>
      <c r="F7" s="13">
        <v>600000</v>
      </c>
      <c r="G7" s="15">
        <v>1.1000000000000001</v>
      </c>
      <c r="H7" s="15">
        <v>0.8</v>
      </c>
      <c r="I7" s="12">
        <v>1</v>
      </c>
      <c r="J7" s="12">
        <v>1</v>
      </c>
      <c r="K7" s="12">
        <v>1</v>
      </c>
      <c r="L7" s="12">
        <v>0.2</v>
      </c>
      <c r="M7" s="12">
        <v>0.7</v>
      </c>
      <c r="N7" s="16">
        <f t="shared" si="0"/>
        <v>0.63</v>
      </c>
      <c r="O7" s="17">
        <f t="shared" si="1"/>
        <v>50000</v>
      </c>
      <c r="P7" s="7">
        <v>10</v>
      </c>
      <c r="Q7" s="18">
        <f t="shared" si="2"/>
        <v>0.97794680699710346</v>
      </c>
      <c r="R7" s="19">
        <f>0.15/100*L7*M7</f>
        <v>2.1000000000000001E-4</v>
      </c>
      <c r="S7" s="19">
        <f t="shared" si="3"/>
        <v>1.8529411764705881E-2</v>
      </c>
      <c r="T7" s="17">
        <f t="shared" si="8"/>
        <v>84.387743301686342</v>
      </c>
      <c r="U7" s="17">
        <f t="shared" si="5"/>
        <v>48.800000000000004</v>
      </c>
      <c r="V7" s="17">
        <f t="shared" si="6"/>
        <v>35.587743301686338</v>
      </c>
      <c r="W7" t="s">
        <v>22</v>
      </c>
    </row>
    <row r="8" spans="1:24" x14ac:dyDescent="0.3">
      <c r="B8" s="7">
        <v>7</v>
      </c>
      <c r="C8" s="15">
        <v>50.5</v>
      </c>
      <c r="D8" s="15">
        <v>10.5</v>
      </c>
      <c r="E8" s="13">
        <v>50000</v>
      </c>
      <c r="F8" s="13">
        <v>600000</v>
      </c>
      <c r="G8" s="15">
        <v>1.1000000000000001</v>
      </c>
      <c r="H8" s="15">
        <v>0.8</v>
      </c>
      <c r="I8" s="12">
        <v>1</v>
      </c>
      <c r="J8" s="12">
        <v>1</v>
      </c>
      <c r="K8" s="12">
        <v>1</v>
      </c>
      <c r="L8" s="12">
        <v>0.2</v>
      </c>
      <c r="M8" s="12">
        <v>0.7</v>
      </c>
      <c r="N8" s="16">
        <f t="shared" si="0"/>
        <v>0.63</v>
      </c>
      <c r="O8" s="17">
        <f t="shared" si="1"/>
        <v>50000</v>
      </c>
      <c r="P8" s="7">
        <v>20</v>
      </c>
      <c r="Q8" s="18">
        <f t="shared" si="2"/>
        <v>0.95637995731583003</v>
      </c>
      <c r="R8" s="19">
        <f t="shared" ref="R8:R29" si="9">0.15/100*L8*M8</f>
        <v>2.1000000000000001E-4</v>
      </c>
      <c r="S8" s="19">
        <f t="shared" si="3"/>
        <v>1.8529411764705881E-2</v>
      </c>
      <c r="T8" s="17">
        <f t="shared" si="8"/>
        <v>82.526724111575376</v>
      </c>
      <c r="U8" s="17">
        <f t="shared" si="5"/>
        <v>48.800000000000004</v>
      </c>
      <c r="V8" s="17">
        <f t="shared" si="6"/>
        <v>33.726724111575372</v>
      </c>
      <c r="W8" t="s">
        <v>22</v>
      </c>
    </row>
    <row r="9" spans="1:24" x14ac:dyDescent="0.3">
      <c r="B9" s="7">
        <v>8</v>
      </c>
      <c r="C9" s="15">
        <v>50.5</v>
      </c>
      <c r="D9" s="15">
        <v>10.5</v>
      </c>
      <c r="E9" s="13">
        <v>50000</v>
      </c>
      <c r="F9" s="13">
        <v>600000</v>
      </c>
      <c r="G9" s="15">
        <v>1.1000000000000001</v>
      </c>
      <c r="H9" s="15">
        <v>0.8</v>
      </c>
      <c r="I9" s="12">
        <v>1</v>
      </c>
      <c r="J9" s="12">
        <v>1</v>
      </c>
      <c r="K9" s="12">
        <v>1</v>
      </c>
      <c r="L9" s="12">
        <v>0.2</v>
      </c>
      <c r="M9" s="12">
        <v>0.7</v>
      </c>
      <c r="N9" s="16">
        <f t="shared" si="0"/>
        <v>0.63</v>
      </c>
      <c r="O9" s="17">
        <f t="shared" si="1"/>
        <v>50000</v>
      </c>
      <c r="P9" s="7">
        <v>30</v>
      </c>
      <c r="Q9" s="18">
        <f t="shared" si="2"/>
        <v>0.9352887255330421</v>
      </c>
      <c r="R9" s="19">
        <f t="shared" si="9"/>
        <v>2.1000000000000001E-4</v>
      </c>
      <c r="S9" s="19">
        <f t="shared" si="3"/>
        <v>1.8529411764705881E-2</v>
      </c>
      <c r="T9" s="17">
        <f t="shared" si="8"/>
        <v>80.70674633684601</v>
      </c>
      <c r="U9" s="17">
        <f t="shared" si="5"/>
        <v>48.800000000000004</v>
      </c>
      <c r="V9" s="17">
        <f t="shared" si="6"/>
        <v>31.906746336846005</v>
      </c>
      <c r="W9" t="s">
        <v>22</v>
      </c>
    </row>
    <row r="10" spans="1:24" x14ac:dyDescent="0.3">
      <c r="B10" s="7">
        <v>9</v>
      </c>
      <c r="C10" s="15">
        <v>50.5</v>
      </c>
      <c r="D10" s="15">
        <v>10.5</v>
      </c>
      <c r="E10" s="13">
        <v>50000</v>
      </c>
      <c r="F10" s="13">
        <v>600000</v>
      </c>
      <c r="G10" s="15">
        <v>1.1000000000000001</v>
      </c>
      <c r="H10" s="15">
        <v>0.8</v>
      </c>
      <c r="I10" s="12">
        <v>1</v>
      </c>
      <c r="J10" s="12">
        <v>1</v>
      </c>
      <c r="K10" s="12">
        <v>1</v>
      </c>
      <c r="L10" s="12">
        <v>0.2</v>
      </c>
      <c r="M10" s="12">
        <v>0.7</v>
      </c>
      <c r="N10" s="16">
        <f t="shared" si="0"/>
        <v>0.63</v>
      </c>
      <c r="O10" s="17">
        <f t="shared" si="1"/>
        <v>50000</v>
      </c>
      <c r="P10" s="7">
        <v>50</v>
      </c>
      <c r="Q10" s="18">
        <f t="shared" si="2"/>
        <v>0.89449139140326783</v>
      </c>
      <c r="R10" s="19">
        <f t="shared" si="9"/>
        <v>2.1000000000000001E-4</v>
      </c>
      <c r="S10" s="19">
        <f t="shared" si="3"/>
        <v>1.8529411764705881E-2</v>
      </c>
      <c r="T10" s="17">
        <f t="shared" si="8"/>
        <v>77.186314616732304</v>
      </c>
      <c r="U10" s="17">
        <f t="shared" si="5"/>
        <v>48.800000000000004</v>
      </c>
      <c r="V10" s="17">
        <f t="shared" si="6"/>
        <v>28.386314616732299</v>
      </c>
      <c r="W10" t="s">
        <v>22</v>
      </c>
    </row>
    <row r="11" spans="1:24" x14ac:dyDescent="0.3">
      <c r="B11" s="7">
        <v>10</v>
      </c>
      <c r="C11" s="15">
        <v>50.5</v>
      </c>
      <c r="D11" s="15">
        <v>10.5</v>
      </c>
      <c r="E11" s="13">
        <v>50000</v>
      </c>
      <c r="F11" s="13">
        <v>600000</v>
      </c>
      <c r="G11" s="15">
        <v>1.1000000000000001</v>
      </c>
      <c r="H11" s="15">
        <v>0.8</v>
      </c>
      <c r="I11" s="12">
        <v>1</v>
      </c>
      <c r="J11" s="12">
        <v>1</v>
      </c>
      <c r="K11" s="12">
        <v>1</v>
      </c>
      <c r="L11" s="12">
        <v>0.2</v>
      </c>
      <c r="M11" s="12">
        <v>0.7</v>
      </c>
      <c r="N11" s="16">
        <f t="shared" si="0"/>
        <v>0.63</v>
      </c>
      <c r="O11" s="17">
        <f t="shared" si="1"/>
        <v>50000</v>
      </c>
      <c r="P11" s="7">
        <v>100</v>
      </c>
      <c r="Q11" s="18">
        <f t="shared" si="2"/>
        <v>0.80011484929455412</v>
      </c>
      <c r="R11" s="19">
        <f t="shared" si="9"/>
        <v>2.1000000000000001E-4</v>
      </c>
      <c r="S11" s="19">
        <f t="shared" si="3"/>
        <v>1.8529411764705881E-2</v>
      </c>
      <c r="T11" s="17">
        <f t="shared" si="8"/>
        <v>69.042493958811278</v>
      </c>
      <c r="U11" s="17">
        <f t="shared" si="5"/>
        <v>48.800000000000004</v>
      </c>
      <c r="V11" s="17">
        <f t="shared" si="6"/>
        <v>20.242493958811274</v>
      </c>
      <c r="W11" t="s">
        <v>22</v>
      </c>
    </row>
    <row r="12" spans="1:24" x14ac:dyDescent="0.3">
      <c r="B12" s="7">
        <v>11</v>
      </c>
      <c r="C12" s="15">
        <v>5000</v>
      </c>
      <c r="D12" s="15">
        <v>5000</v>
      </c>
      <c r="E12" s="13">
        <v>5000</v>
      </c>
      <c r="F12" s="13">
        <v>5000</v>
      </c>
      <c r="G12" s="15">
        <v>2</v>
      </c>
      <c r="H12" s="15">
        <v>10</v>
      </c>
      <c r="I12" s="12">
        <v>1</v>
      </c>
      <c r="J12" s="12">
        <v>1</v>
      </c>
      <c r="K12" s="12">
        <v>1</v>
      </c>
      <c r="L12" s="12">
        <v>0.3</v>
      </c>
      <c r="M12" s="12">
        <v>0.5</v>
      </c>
      <c r="N12" s="16">
        <f t="shared" si="0"/>
        <v>0.45</v>
      </c>
      <c r="O12" s="17">
        <f t="shared" si="1"/>
        <v>5000</v>
      </c>
      <c r="P12" s="7">
        <v>10</v>
      </c>
      <c r="Q12" s="18">
        <f t="shared" si="2"/>
        <v>0.97794680699710346</v>
      </c>
      <c r="R12" s="19">
        <f t="shared" si="9"/>
        <v>2.2499999999999999E-4</v>
      </c>
      <c r="S12" s="19">
        <f t="shared" si="3"/>
        <v>1.1029411764705882E-3</v>
      </c>
      <c r="T12" s="17">
        <f t="shared" si="8"/>
        <v>0.98920038606291572</v>
      </c>
      <c r="U12" s="17">
        <f t="shared" si="5"/>
        <v>100000</v>
      </c>
      <c r="V12" s="17">
        <f t="shared" si="6"/>
        <v>-99999.010799613941</v>
      </c>
      <c r="W12" t="s">
        <v>22</v>
      </c>
    </row>
    <row r="13" spans="1:24" x14ac:dyDescent="0.3">
      <c r="B13" s="7">
        <v>12</v>
      </c>
      <c r="C13" s="15"/>
      <c r="D13" s="15"/>
      <c r="E13" s="13"/>
      <c r="F13" s="13"/>
      <c r="G13" s="15"/>
      <c r="H13" s="15"/>
      <c r="I13" s="12">
        <v>1</v>
      </c>
      <c r="J13" s="12">
        <v>1</v>
      </c>
      <c r="K13" s="12">
        <v>1</v>
      </c>
      <c r="L13" s="12"/>
      <c r="M13" s="12"/>
      <c r="N13" s="16">
        <f t="shared" si="0"/>
        <v>0</v>
      </c>
      <c r="O13" s="17">
        <f t="shared" si="1"/>
        <v>0</v>
      </c>
      <c r="P13" s="7"/>
      <c r="Q13" s="18">
        <f t="shared" si="2"/>
        <v>1</v>
      </c>
      <c r="R13" s="19">
        <f t="shared" si="9"/>
        <v>0</v>
      </c>
      <c r="S13" s="19" t="e">
        <f t="shared" si="3"/>
        <v>#DIV/0!</v>
      </c>
      <c r="T13" s="17" t="e">
        <f t="shared" si="8"/>
        <v>#DIV/0!</v>
      </c>
      <c r="U13" s="17">
        <f t="shared" si="5"/>
        <v>0</v>
      </c>
      <c r="V13" s="17" t="e">
        <f t="shared" si="6"/>
        <v>#DIV/0!</v>
      </c>
    </row>
    <row r="14" spans="1:24" x14ac:dyDescent="0.3">
      <c r="B14" s="7">
        <v>13</v>
      </c>
      <c r="C14" s="15"/>
      <c r="D14" s="15"/>
      <c r="E14" s="13"/>
      <c r="F14" s="13"/>
      <c r="G14" s="15"/>
      <c r="H14" s="15"/>
      <c r="I14" s="12">
        <v>1</v>
      </c>
      <c r="J14" s="12">
        <v>1</v>
      </c>
      <c r="K14" s="12">
        <v>1</v>
      </c>
      <c r="L14" s="12"/>
      <c r="M14" s="12"/>
      <c r="N14" s="16">
        <f t="shared" si="0"/>
        <v>0</v>
      </c>
      <c r="O14" s="17">
        <f t="shared" si="1"/>
        <v>0</v>
      </c>
      <c r="P14" s="7"/>
      <c r="Q14" s="18">
        <f t="shared" si="2"/>
        <v>1</v>
      </c>
      <c r="R14" s="19">
        <f t="shared" si="9"/>
        <v>0</v>
      </c>
      <c r="S14" s="19" t="e">
        <f t="shared" si="3"/>
        <v>#DIV/0!</v>
      </c>
      <c r="T14" s="17" t="e">
        <f t="shared" si="8"/>
        <v>#DIV/0!</v>
      </c>
      <c r="U14" s="17">
        <f t="shared" si="5"/>
        <v>0</v>
      </c>
      <c r="V14" s="17" t="e">
        <f t="shared" si="6"/>
        <v>#DIV/0!</v>
      </c>
    </row>
    <row r="15" spans="1:24" x14ac:dyDescent="0.3">
      <c r="B15" s="7">
        <v>14</v>
      </c>
      <c r="C15" s="15"/>
      <c r="D15" s="15"/>
      <c r="E15" s="13"/>
      <c r="F15" s="13"/>
      <c r="G15" s="15"/>
      <c r="H15" s="15"/>
      <c r="I15" s="12">
        <v>1</v>
      </c>
      <c r="J15" s="12">
        <v>1</v>
      </c>
      <c r="K15" s="12">
        <v>1</v>
      </c>
      <c r="L15" s="12"/>
      <c r="M15" s="12"/>
      <c r="N15" s="16">
        <f t="shared" si="0"/>
        <v>0</v>
      </c>
      <c r="O15" s="17">
        <f t="shared" si="1"/>
        <v>0</v>
      </c>
      <c r="P15" s="7"/>
      <c r="Q15" s="18">
        <f t="shared" si="2"/>
        <v>1</v>
      </c>
      <c r="R15" s="19">
        <f t="shared" si="9"/>
        <v>0</v>
      </c>
      <c r="S15" s="19" t="e">
        <f t="shared" si="3"/>
        <v>#DIV/0!</v>
      </c>
      <c r="T15" s="17" t="e">
        <f t="shared" si="8"/>
        <v>#DIV/0!</v>
      </c>
      <c r="U15" s="17">
        <f t="shared" si="5"/>
        <v>0</v>
      </c>
      <c r="V15" s="17" t="e">
        <f t="shared" si="6"/>
        <v>#DIV/0!</v>
      </c>
    </row>
    <row r="16" spans="1:24" x14ac:dyDescent="0.3">
      <c r="B16" s="7">
        <v>15</v>
      </c>
      <c r="C16" s="15"/>
      <c r="D16" s="15"/>
      <c r="E16" s="13"/>
      <c r="F16" s="13"/>
      <c r="G16" s="15"/>
      <c r="H16" s="15"/>
      <c r="I16" s="12">
        <v>1</v>
      </c>
      <c r="J16" s="12">
        <v>1</v>
      </c>
      <c r="K16" s="12">
        <v>1</v>
      </c>
      <c r="L16" s="12"/>
      <c r="M16" s="12"/>
      <c r="N16" s="16">
        <f t="shared" si="0"/>
        <v>0</v>
      </c>
      <c r="O16" s="17">
        <f t="shared" si="1"/>
        <v>0</v>
      </c>
      <c r="P16" s="7"/>
      <c r="Q16" s="18">
        <f t="shared" si="2"/>
        <v>1</v>
      </c>
      <c r="R16" s="19">
        <f t="shared" si="9"/>
        <v>0</v>
      </c>
      <c r="S16" s="19" t="e">
        <f t="shared" si="3"/>
        <v>#DIV/0!</v>
      </c>
      <c r="T16" s="17" t="e">
        <f t="shared" si="8"/>
        <v>#DIV/0!</v>
      </c>
      <c r="U16" s="17">
        <f t="shared" si="5"/>
        <v>0</v>
      </c>
      <c r="V16" s="17" t="e">
        <f t="shared" si="6"/>
        <v>#DIV/0!</v>
      </c>
    </row>
    <row r="17" spans="2:22" x14ac:dyDescent="0.3">
      <c r="B17" s="7">
        <v>16</v>
      </c>
      <c r="C17" s="15"/>
      <c r="D17" s="15"/>
      <c r="E17" s="13"/>
      <c r="F17" s="13"/>
      <c r="G17" s="15"/>
      <c r="H17" s="15"/>
      <c r="I17" s="12">
        <v>1</v>
      </c>
      <c r="J17" s="12">
        <v>1</v>
      </c>
      <c r="K17" s="12">
        <v>1</v>
      </c>
      <c r="L17" s="12"/>
      <c r="M17" s="12"/>
      <c r="N17" s="16">
        <f t="shared" si="0"/>
        <v>0</v>
      </c>
      <c r="O17" s="17">
        <f t="shared" si="1"/>
        <v>0</v>
      </c>
      <c r="P17" s="7"/>
      <c r="Q17" s="18">
        <f t="shared" si="2"/>
        <v>1</v>
      </c>
      <c r="R17" s="19">
        <f t="shared" si="9"/>
        <v>0</v>
      </c>
      <c r="S17" s="19" t="e">
        <f t="shared" si="3"/>
        <v>#DIV/0!</v>
      </c>
      <c r="T17" s="17" t="e">
        <f t="shared" si="8"/>
        <v>#DIV/0!</v>
      </c>
      <c r="U17" s="17">
        <f t="shared" si="5"/>
        <v>0</v>
      </c>
      <c r="V17" s="17" t="e">
        <f t="shared" si="6"/>
        <v>#DIV/0!</v>
      </c>
    </row>
    <row r="18" spans="2:22" x14ac:dyDescent="0.3">
      <c r="B18" s="7">
        <v>17</v>
      </c>
      <c r="C18" s="15"/>
      <c r="D18" s="15"/>
      <c r="E18" s="13"/>
      <c r="F18" s="13"/>
      <c r="G18" s="15"/>
      <c r="H18" s="15"/>
      <c r="I18" s="12">
        <v>1</v>
      </c>
      <c r="J18" s="12">
        <v>1</v>
      </c>
      <c r="K18" s="12">
        <v>1</v>
      </c>
      <c r="L18" s="12"/>
      <c r="M18" s="12"/>
      <c r="N18" s="16">
        <f t="shared" si="0"/>
        <v>0</v>
      </c>
      <c r="O18" s="17">
        <f t="shared" si="1"/>
        <v>0</v>
      </c>
      <c r="P18" s="7"/>
      <c r="Q18" s="18">
        <f t="shared" si="2"/>
        <v>1</v>
      </c>
      <c r="R18" s="19">
        <f t="shared" si="9"/>
        <v>0</v>
      </c>
      <c r="S18" s="19" t="e">
        <f t="shared" si="3"/>
        <v>#DIV/0!</v>
      </c>
      <c r="T18" s="17" t="e">
        <f t="shared" si="8"/>
        <v>#DIV/0!</v>
      </c>
      <c r="U18" s="17">
        <f t="shared" si="5"/>
        <v>0</v>
      </c>
      <c r="V18" s="17" t="e">
        <f t="shared" si="6"/>
        <v>#DIV/0!</v>
      </c>
    </row>
    <row r="19" spans="2:22" x14ac:dyDescent="0.3">
      <c r="B19" s="7">
        <v>18</v>
      </c>
      <c r="C19" s="15"/>
      <c r="D19" s="15"/>
      <c r="E19" s="13"/>
      <c r="F19" s="13"/>
      <c r="G19" s="15"/>
      <c r="H19" s="15"/>
      <c r="I19" s="12">
        <v>1</v>
      </c>
      <c r="J19" s="12">
        <v>1</v>
      </c>
      <c r="K19" s="12">
        <v>1</v>
      </c>
      <c r="L19" s="12"/>
      <c r="M19" s="12"/>
      <c r="N19" s="16">
        <f t="shared" si="0"/>
        <v>0</v>
      </c>
      <c r="O19" s="17">
        <f t="shared" si="1"/>
        <v>0</v>
      </c>
      <c r="P19" s="7"/>
      <c r="Q19" s="18">
        <f t="shared" si="2"/>
        <v>1</v>
      </c>
      <c r="R19" s="19">
        <f t="shared" si="9"/>
        <v>0</v>
      </c>
      <c r="S19" s="19" t="e">
        <f t="shared" si="3"/>
        <v>#DIV/0!</v>
      </c>
      <c r="T19" s="17" t="e">
        <f t="shared" si="8"/>
        <v>#DIV/0!</v>
      </c>
      <c r="U19" s="17">
        <f t="shared" si="5"/>
        <v>0</v>
      </c>
      <c r="V19" s="17" t="e">
        <f t="shared" si="6"/>
        <v>#DIV/0!</v>
      </c>
    </row>
    <row r="20" spans="2:22" x14ac:dyDescent="0.3">
      <c r="B20" s="7">
        <v>19</v>
      </c>
      <c r="C20" s="15"/>
      <c r="D20" s="15"/>
      <c r="E20" s="13"/>
      <c r="F20" s="13"/>
      <c r="G20" s="15"/>
      <c r="H20" s="15"/>
      <c r="I20" s="12">
        <v>1</v>
      </c>
      <c r="J20" s="12">
        <v>1</v>
      </c>
      <c r="K20" s="12">
        <v>1</v>
      </c>
      <c r="L20" s="12"/>
      <c r="M20" s="12"/>
      <c r="N20" s="16">
        <f t="shared" si="0"/>
        <v>0</v>
      </c>
      <c r="O20" s="17">
        <f t="shared" si="1"/>
        <v>0</v>
      </c>
      <c r="P20" s="7"/>
      <c r="Q20" s="18">
        <f t="shared" si="2"/>
        <v>1</v>
      </c>
      <c r="R20" s="19">
        <f t="shared" si="9"/>
        <v>0</v>
      </c>
      <c r="S20" s="19" t="e">
        <f t="shared" si="3"/>
        <v>#DIV/0!</v>
      </c>
      <c r="T20" s="17" t="e">
        <f t="shared" si="8"/>
        <v>#DIV/0!</v>
      </c>
      <c r="U20" s="17">
        <f t="shared" si="5"/>
        <v>0</v>
      </c>
      <c r="V20" s="17" t="e">
        <f t="shared" si="6"/>
        <v>#DIV/0!</v>
      </c>
    </row>
    <row r="21" spans="2:22" x14ac:dyDescent="0.3">
      <c r="B21" s="7">
        <v>20</v>
      </c>
      <c r="C21" s="15"/>
      <c r="D21" s="15"/>
      <c r="E21" s="13"/>
      <c r="F21" s="13"/>
      <c r="G21" s="15"/>
      <c r="H21" s="15"/>
      <c r="I21" s="12">
        <v>1</v>
      </c>
      <c r="J21" s="12">
        <v>1</v>
      </c>
      <c r="K21" s="12">
        <v>1</v>
      </c>
      <c r="L21" s="12"/>
      <c r="M21" s="12"/>
      <c r="N21" s="16">
        <f t="shared" si="0"/>
        <v>0</v>
      </c>
      <c r="O21" s="17">
        <f t="shared" si="1"/>
        <v>0</v>
      </c>
      <c r="P21" s="7"/>
      <c r="Q21" s="18">
        <f t="shared" si="2"/>
        <v>1</v>
      </c>
      <c r="R21" s="19">
        <f t="shared" si="9"/>
        <v>0</v>
      </c>
      <c r="S21" s="19" t="e">
        <f t="shared" si="3"/>
        <v>#DIV/0!</v>
      </c>
      <c r="T21" s="17" t="e">
        <f t="shared" si="8"/>
        <v>#DIV/0!</v>
      </c>
      <c r="U21" s="17">
        <f t="shared" si="5"/>
        <v>0</v>
      </c>
      <c r="V21" s="17" t="e">
        <f t="shared" si="6"/>
        <v>#DIV/0!</v>
      </c>
    </row>
    <row r="22" spans="2:22" x14ac:dyDescent="0.3">
      <c r="B22" s="7">
        <v>21</v>
      </c>
      <c r="C22" s="15"/>
      <c r="D22" s="15"/>
      <c r="E22" s="13"/>
      <c r="F22" s="13"/>
      <c r="G22" s="15"/>
      <c r="H22" s="15"/>
      <c r="I22" s="12">
        <v>1</v>
      </c>
      <c r="J22" s="12">
        <v>1</v>
      </c>
      <c r="K22" s="12">
        <v>1</v>
      </c>
      <c r="L22" s="12"/>
      <c r="M22" s="12"/>
      <c r="N22" s="16">
        <f t="shared" si="0"/>
        <v>0</v>
      </c>
      <c r="O22" s="17">
        <f t="shared" si="1"/>
        <v>0</v>
      </c>
      <c r="P22" s="7"/>
      <c r="Q22" s="18">
        <f t="shared" si="2"/>
        <v>1</v>
      </c>
      <c r="R22" s="19">
        <f t="shared" si="9"/>
        <v>0</v>
      </c>
      <c r="S22" s="19" t="e">
        <f t="shared" si="3"/>
        <v>#DIV/0!</v>
      </c>
      <c r="T22" s="17" t="e">
        <f t="shared" si="8"/>
        <v>#DIV/0!</v>
      </c>
      <c r="U22" s="17">
        <f t="shared" si="5"/>
        <v>0</v>
      </c>
      <c r="V22" s="17" t="e">
        <f t="shared" si="6"/>
        <v>#DIV/0!</v>
      </c>
    </row>
    <row r="23" spans="2:22" x14ac:dyDescent="0.3">
      <c r="B23" s="7">
        <v>22</v>
      </c>
      <c r="C23" s="15"/>
      <c r="D23" s="15"/>
      <c r="E23" s="13"/>
      <c r="F23" s="13"/>
      <c r="G23" s="15"/>
      <c r="H23" s="15"/>
      <c r="I23" s="12">
        <v>1</v>
      </c>
      <c r="J23" s="12">
        <v>1</v>
      </c>
      <c r="K23" s="12">
        <v>1</v>
      </c>
      <c r="L23" s="12"/>
      <c r="M23" s="12"/>
      <c r="N23" s="16">
        <f t="shared" si="0"/>
        <v>0</v>
      </c>
      <c r="O23" s="17">
        <f t="shared" si="1"/>
        <v>0</v>
      </c>
      <c r="P23" s="7"/>
      <c r="Q23" s="18">
        <f t="shared" si="2"/>
        <v>1</v>
      </c>
      <c r="R23" s="19">
        <f t="shared" si="9"/>
        <v>0</v>
      </c>
      <c r="S23" s="19" t="e">
        <f t="shared" si="3"/>
        <v>#DIV/0!</v>
      </c>
      <c r="T23" s="17" t="e">
        <f t="shared" si="8"/>
        <v>#DIV/0!</v>
      </c>
      <c r="U23" s="17">
        <f t="shared" si="5"/>
        <v>0</v>
      </c>
      <c r="V23" s="17" t="e">
        <f t="shared" si="6"/>
        <v>#DIV/0!</v>
      </c>
    </row>
    <row r="24" spans="2:22" x14ac:dyDescent="0.3">
      <c r="B24" s="7">
        <v>23</v>
      </c>
      <c r="C24" s="15"/>
      <c r="D24" s="15"/>
      <c r="E24" s="13"/>
      <c r="F24" s="13"/>
      <c r="G24" s="15"/>
      <c r="H24" s="15"/>
      <c r="I24" s="12">
        <v>1</v>
      </c>
      <c r="J24" s="12">
        <v>1</v>
      </c>
      <c r="K24" s="12">
        <v>1</v>
      </c>
      <c r="L24" s="12"/>
      <c r="M24" s="12"/>
      <c r="N24" s="16">
        <f t="shared" si="0"/>
        <v>0</v>
      </c>
      <c r="O24" s="17">
        <f t="shared" si="1"/>
        <v>0</v>
      </c>
      <c r="P24" s="7"/>
      <c r="Q24" s="18">
        <f t="shared" si="2"/>
        <v>1</v>
      </c>
      <c r="R24" s="19">
        <f t="shared" si="9"/>
        <v>0</v>
      </c>
      <c r="S24" s="19" t="e">
        <f t="shared" si="3"/>
        <v>#DIV/0!</v>
      </c>
      <c r="T24" s="17" t="e">
        <f t="shared" si="8"/>
        <v>#DIV/0!</v>
      </c>
      <c r="U24" s="17">
        <f t="shared" si="5"/>
        <v>0</v>
      </c>
      <c r="V24" s="17" t="e">
        <f t="shared" si="6"/>
        <v>#DIV/0!</v>
      </c>
    </row>
    <row r="25" spans="2:22" x14ac:dyDescent="0.3">
      <c r="B25" s="7">
        <v>24</v>
      </c>
      <c r="C25" s="15"/>
      <c r="D25" s="15"/>
      <c r="E25" s="13"/>
      <c r="F25" s="13"/>
      <c r="G25" s="15"/>
      <c r="H25" s="15"/>
      <c r="I25" s="12">
        <v>1</v>
      </c>
      <c r="J25" s="12">
        <v>1</v>
      </c>
      <c r="K25" s="12">
        <v>1</v>
      </c>
      <c r="L25" s="12"/>
      <c r="M25" s="12"/>
      <c r="N25" s="16">
        <f t="shared" si="0"/>
        <v>0</v>
      </c>
      <c r="O25" s="17">
        <f t="shared" si="1"/>
        <v>0</v>
      </c>
      <c r="P25" s="7"/>
      <c r="Q25" s="18">
        <f t="shared" si="2"/>
        <v>1</v>
      </c>
      <c r="R25" s="19">
        <f t="shared" si="9"/>
        <v>0</v>
      </c>
      <c r="S25" s="19" t="e">
        <f t="shared" si="3"/>
        <v>#DIV/0!</v>
      </c>
      <c r="T25" s="17" t="e">
        <f t="shared" si="8"/>
        <v>#DIV/0!</v>
      </c>
      <c r="U25" s="17">
        <f t="shared" si="5"/>
        <v>0</v>
      </c>
      <c r="V25" s="17" t="e">
        <f t="shared" si="6"/>
        <v>#DIV/0!</v>
      </c>
    </row>
    <row r="26" spans="2:22" x14ac:dyDescent="0.3">
      <c r="B26" s="7">
        <v>25</v>
      </c>
      <c r="C26" s="15"/>
      <c r="D26" s="15"/>
      <c r="E26" s="13"/>
      <c r="F26" s="13"/>
      <c r="G26" s="15"/>
      <c r="H26" s="15"/>
      <c r="I26" s="12">
        <v>1</v>
      </c>
      <c r="J26" s="12">
        <v>1</v>
      </c>
      <c r="K26" s="12">
        <v>1</v>
      </c>
      <c r="L26" s="12"/>
      <c r="M26" s="12"/>
      <c r="N26" s="16">
        <f t="shared" si="0"/>
        <v>0</v>
      </c>
      <c r="O26" s="17">
        <f t="shared" si="1"/>
        <v>0</v>
      </c>
      <c r="P26" s="7"/>
      <c r="Q26" s="18">
        <f t="shared" si="2"/>
        <v>1</v>
      </c>
      <c r="R26" s="19">
        <f t="shared" si="9"/>
        <v>0</v>
      </c>
      <c r="S26" s="19" t="e">
        <f t="shared" si="3"/>
        <v>#DIV/0!</v>
      </c>
      <c r="T26" s="17" t="e">
        <f t="shared" si="8"/>
        <v>#DIV/0!</v>
      </c>
      <c r="U26" s="17">
        <f t="shared" si="5"/>
        <v>0</v>
      </c>
      <c r="V26" s="17" t="e">
        <f t="shared" si="6"/>
        <v>#DIV/0!</v>
      </c>
    </row>
    <row r="27" spans="2:22" x14ac:dyDescent="0.3">
      <c r="B27" s="7">
        <v>26</v>
      </c>
      <c r="C27" s="15"/>
      <c r="D27" s="15"/>
      <c r="E27" s="13"/>
      <c r="F27" s="13"/>
      <c r="G27" s="15"/>
      <c r="H27" s="15"/>
      <c r="I27" s="12">
        <v>1</v>
      </c>
      <c r="J27" s="12">
        <v>1</v>
      </c>
      <c r="K27" s="12">
        <v>1</v>
      </c>
      <c r="L27" s="12"/>
      <c r="M27" s="12"/>
      <c r="N27" s="16">
        <f t="shared" si="0"/>
        <v>0</v>
      </c>
      <c r="O27" s="17">
        <f t="shared" si="1"/>
        <v>0</v>
      </c>
      <c r="P27" s="7"/>
      <c r="Q27" s="18">
        <f t="shared" si="2"/>
        <v>1</v>
      </c>
      <c r="R27" s="19">
        <f t="shared" si="9"/>
        <v>0</v>
      </c>
      <c r="S27" s="19" t="e">
        <f t="shared" si="3"/>
        <v>#DIV/0!</v>
      </c>
      <c r="T27" s="17" t="e">
        <f t="shared" si="8"/>
        <v>#DIV/0!</v>
      </c>
      <c r="U27" s="17">
        <f t="shared" si="5"/>
        <v>0</v>
      </c>
      <c r="V27" s="17" t="e">
        <f t="shared" si="6"/>
        <v>#DIV/0!</v>
      </c>
    </row>
    <row r="28" spans="2:22" x14ac:dyDescent="0.3">
      <c r="B28" s="7">
        <v>27</v>
      </c>
      <c r="C28" s="15"/>
      <c r="D28" s="15"/>
      <c r="E28" s="13"/>
      <c r="F28" s="13"/>
      <c r="G28" s="15"/>
      <c r="H28" s="15"/>
      <c r="I28" s="12">
        <v>1</v>
      </c>
      <c r="J28" s="12">
        <v>1</v>
      </c>
      <c r="K28" s="12">
        <v>1</v>
      </c>
      <c r="L28" s="12"/>
      <c r="M28" s="12"/>
      <c r="N28" s="16">
        <f t="shared" si="0"/>
        <v>0</v>
      </c>
      <c r="O28" s="17">
        <f t="shared" si="1"/>
        <v>0</v>
      </c>
      <c r="P28" s="7"/>
      <c r="Q28" s="18">
        <f t="shared" si="2"/>
        <v>1</v>
      </c>
      <c r="R28" s="19">
        <f t="shared" si="9"/>
        <v>0</v>
      </c>
      <c r="S28" s="19" t="e">
        <f t="shared" si="3"/>
        <v>#DIV/0!</v>
      </c>
      <c r="T28" s="17" t="e">
        <f t="shared" si="8"/>
        <v>#DIV/0!</v>
      </c>
      <c r="U28" s="17">
        <f t="shared" si="5"/>
        <v>0</v>
      </c>
      <c r="V28" s="17" t="e">
        <f t="shared" si="6"/>
        <v>#DIV/0!</v>
      </c>
    </row>
    <row r="29" spans="2:22" x14ac:dyDescent="0.3">
      <c r="B29" s="7"/>
      <c r="C29" s="15"/>
      <c r="D29" s="15"/>
      <c r="E29" s="13"/>
      <c r="F29" s="13"/>
      <c r="G29" s="15"/>
      <c r="H29" s="15"/>
      <c r="I29" s="12">
        <v>1</v>
      </c>
      <c r="J29" s="12">
        <v>1</v>
      </c>
      <c r="K29" s="12">
        <v>1</v>
      </c>
      <c r="L29" s="12"/>
      <c r="M29" s="12"/>
      <c r="N29" s="16">
        <f t="shared" si="0"/>
        <v>0</v>
      </c>
      <c r="O29" s="17">
        <f t="shared" si="1"/>
        <v>0</v>
      </c>
      <c r="P29" s="7"/>
      <c r="Q29" s="18">
        <f t="shared" si="2"/>
        <v>1</v>
      </c>
      <c r="R29" s="19">
        <f t="shared" si="9"/>
        <v>0</v>
      </c>
      <c r="S29" s="19" t="e">
        <f t="shared" si="3"/>
        <v>#DIV/0!</v>
      </c>
      <c r="T29" s="17" t="e">
        <f t="shared" si="8"/>
        <v>#DIV/0!</v>
      </c>
      <c r="U29" s="17">
        <f t="shared" si="5"/>
        <v>0</v>
      </c>
      <c r="V29" s="17" t="e">
        <f t="shared" si="6"/>
        <v>#DIV/0!</v>
      </c>
    </row>
    <row r="30" spans="2:22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2:22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2:22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3:22" x14ac:dyDescent="0.3">
      <c r="C33" s="1"/>
      <c r="D33" s="1"/>
      <c r="E33" s="21" t="s">
        <v>24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3:22" x14ac:dyDescent="0.3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3:22" x14ac:dyDescent="0.3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3:22" x14ac:dyDescent="0.3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3:22" x14ac:dyDescent="0.3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3:22" x14ac:dyDescent="0.3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3:22" x14ac:dyDescent="0.3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3:22" x14ac:dyDescent="0.3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3:22" x14ac:dyDescent="0.3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3:22" x14ac:dyDescent="0.3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3:22" x14ac:dyDescent="0.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3:22" x14ac:dyDescent="0.3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3:22" x14ac:dyDescent="0.3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3:22" x14ac:dyDescent="0.3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3:22" x14ac:dyDescent="0.3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 Moreira</dc:creator>
  <cp:lastModifiedBy>Victor Hugo  Moreira</cp:lastModifiedBy>
  <dcterms:created xsi:type="dcterms:W3CDTF">2024-11-13T17:32:54Z</dcterms:created>
  <dcterms:modified xsi:type="dcterms:W3CDTF">2024-11-28T17:26:31Z</dcterms:modified>
</cp:coreProperties>
</file>